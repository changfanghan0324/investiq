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Cash Flow" state="visible" r:id="rId6"/>
  </sheets>
  <calcPr calcId="171027"/>
</workbook>
</file>

<file path=xl/sharedStrings.xml><?xml version="1.0" encoding="utf-8"?>
<sst xmlns="http://schemas.openxmlformats.org/spreadsheetml/2006/main" count="66" uniqueCount="43">
  <si>
    <t>Inputs</t>
  </si>
  <si>
    <t>Self-authored smoke fixture; values are illustrative only.</t>
  </si>
  <si>
    <t>Assumption</t>
  </si>
  <si>
    <t>Value</t>
  </si>
  <si>
    <t>Owner</t>
  </si>
  <si>
    <t>Source / Basis</t>
  </si>
  <si>
    <t>Date</t>
  </si>
  <si>
    <t>Revenue Growth</t>
  </si>
  <si>
    <t>Analyst</t>
  </si>
  <si>
    <t>Planning case</t>
  </si>
  <si>
    <t>2026-08-10</t>
  </si>
  <si>
    <t>Operating Margin</t>
  </si>
  <si>
    <t>Cash Tax Rate</t>
  </si>
  <si>
    <t>Policy assumption</t>
  </si>
  <si>
    <t>CapEx / Revenue</t>
  </si>
  <si>
    <t>Maintenance plan</t>
  </si>
  <si>
    <t>Change in NWC / Revenue</t>
  </si>
  <si>
    <t>Working capital plan</t>
  </si>
  <si>
    <t>WACC</t>
  </si>
  <si>
    <t>Discount-rate assumption</t>
  </si>
  <si>
    <t>Terminal Growth</t>
  </si>
  <si>
    <t>Gordon-growth assumption</t>
  </si>
  <si>
    <t>Diluted Shares</t>
  </si>
  <si>
    <t>Finance</t>
  </si>
  <si>
    <t>Capitalization schedule</t>
  </si>
  <si>
    <t>Net Debt</t>
  </si>
  <si>
    <t>Debt and cash schedule</t>
  </si>
  <si>
    <t>Other Equity Adjustments</t>
  </si>
  <si>
    <t>Declared none</t>
  </si>
  <si>
    <t>Income Statement</t>
  </si>
  <si>
    <t>FP&amp;A forecast smoke fixture; illustrative USD millions.</t>
  </si>
  <si>
    <t>Metric</t>
  </si>
  <si>
    <t>2024A</t>
  </si>
  <si>
    <t>2025E</t>
  </si>
  <si>
    <t>2026E</t>
  </si>
  <si>
    <t>2027E</t>
  </si>
  <si>
    <t>Revenue</t>
  </si>
  <si>
    <t>EBIT</t>
  </si>
  <si>
    <t>Cash Flow</t>
  </si>
  <si>
    <t>FP&amp;A forecast cash bridge; illustrative USD millions.</t>
  </si>
  <si>
    <t>Beginning Cash</t>
  </si>
  <si>
    <t>Net Change in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</si>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</sst>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666666"/>
      <name val="Arial"/>
    </font>
    <font>
      <b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>
        <v>0.08</v>
      </c>
      <c r="C5" t="s">
        <v>8</v>
      </c>
      <c r="D5" t="s">
        <v>9</v>
      </c>
      <c r="E5" t="s">
        <v>10</v>
      </c>
    </row>
    <row r="6" spans="1:5" x14ac:dyDescent="0.25">
      <c r="A6" t="s">
        <v>11</v>
      </c>
      <c r="B6">
        <v>0.22</v>
      </c>
      <c r="C6" t="s">
        <v>8</v>
      </c>
      <c r="D6" t="s">
        <v>9</v>
      </c>
      <c r="E6" t="s">
        <v>10</v>
      </c>
    </row>
    <row r="7" spans="1:5" x14ac:dyDescent="0.25">
      <c r="A7" t="s">
        <v>12</v>
      </c>
      <c r="B7">
        <v>0.25</v>
      </c>
      <c r="C7" t="s">
        <v>8</v>
      </c>
      <c r="D7" t="s">
        <v>13</v>
      </c>
      <c r="E7" t="s">
        <v>10</v>
      </c>
    </row>
    <row r="8" spans="1:5" x14ac:dyDescent="0.25">
      <c r="A8" t="s">
        <v>14</v>
      </c>
      <c r="B8">
        <v>0.05</v>
      </c>
      <c r="C8" t="s">
        <v>8</v>
      </c>
      <c r="D8" t="s">
        <v>15</v>
      </c>
      <c r="E8" t="s">
        <v>10</v>
      </c>
    </row>
    <row r="9" spans="1:5" x14ac:dyDescent="0.25">
      <c r="A9" t="s">
        <v>16</v>
      </c>
      <c r="B9">
        <v>0.02</v>
      </c>
      <c r="C9" t="s">
        <v>8</v>
      </c>
      <c r="D9" t="s">
        <v>17</v>
      </c>
      <c r="E9" t="s">
        <v>10</v>
      </c>
    </row>
    <row r="10" spans="1:5" x14ac:dyDescent="0.25">
      <c r="A10" t="s">
        <v>18</v>
      </c>
      <c r="B10">
        <v>0.09</v>
      </c>
      <c r="C10" t="s">
        <v>8</v>
      </c>
      <c r="D10" t="s">
        <v>19</v>
      </c>
      <c r="E10" t="s">
        <v>10</v>
      </c>
    </row>
    <row r="11" spans="1:5" x14ac:dyDescent="0.25">
      <c r="A11" t="s">
        <v>20</v>
      </c>
      <c r="B11">
        <v>0.025</v>
      </c>
      <c r="C11" t="s">
        <v>8</v>
      </c>
      <c r="D11" t="s">
        <v>21</v>
      </c>
      <c r="E11" t="s">
        <v>10</v>
      </c>
    </row>
    <row r="12" spans="1:5" x14ac:dyDescent="0.25">
      <c r="A12" t="s">
        <v>22</v>
      </c>
      <c r="B12">
        <v>100</v>
      </c>
      <c r="C12" t="s">
        <v>23</v>
      </c>
      <c r="D12" t="s">
        <v>24</v>
      </c>
      <c r="E12" t="s">
        <v>10</v>
      </c>
    </row>
    <row r="13" spans="1:5" x14ac:dyDescent="0.25">
      <c r="A13" t="s">
        <v>25</v>
      </c>
      <c r="B13">
        <v>500</v>
      </c>
      <c r="C13" t="s">
        <v>23</v>
      </c>
      <c r="D13" t="s">
        <v>26</v>
      </c>
      <c r="E13" t="s">
        <v>10</v>
      </c>
    </row>
    <row r="14" spans="1:5" x14ac:dyDescent="0.25">
      <c r="A14" t="s">
        <v>27</v>
      </c>
      <c r="B14">
        <v>0</v>
      </c>
      <c r="C14" t="s">
        <v>23</v>
      </c>
      <c r="D14" t="s">
        <v>28</v>
      </c>
      <c r="E1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29</v>
      </c>
    </row>
    <row r="2" spans="1:1" x14ac:dyDescent="0.25">
      <c r="A2" s="2" t="s">
        <v>30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36</v>
      </c>
      <c r="B5">
        <v>1000</v>
      </c>
      <c r="C5">
        <f>B5*(1+Inputs!$B$5)</f>
        <v>1080</v>
      </c>
      <c r="D5">
        <f>C5*(1+Inputs!$B$5)</f>
        <v>1166.4</v>
      </c>
      <c r="E5">
        <f>D5*(1+Inputs!$B$5)</f>
        <v>1259.712</v>
      </c>
    </row>
    <row r="6" spans="1:5" x14ac:dyDescent="0.25">
      <c r="A6" t="s">
        <v>37</v>
      </c>
      <c r="B6">
        <f>B5*Inputs!$B$6</f>
        <v>220</v>
      </c>
      <c r="C6">
        <f>C5*Inputs!$B$6</f>
        <v>237.6</v>
      </c>
      <c r="D6">
        <f>D5*Inputs!$B$6</f>
        <v>256.608</v>
      </c>
      <c r="E6">
        <f>E5*Inputs!$B$6</f>
        <v>277.137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6" width="16" customWidth="1"/>
  </cols>
  <sheetData>
    <row r="1" spans="1:1" x14ac:dyDescent="0.25">
      <c r="A1" s="1" t="s">
        <v>38</v>
      </c>
    </row>
    <row r="2" spans="1:1" x14ac:dyDescent="0.25">
      <c r="A2" s="2" t="s">
        <v>39</v>
      </c>
    </row>
    <row r="4" spans="1:5" s="3" customForma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 x14ac:dyDescent="0.25">
      <c r="A5" t="s">
        <v>40</v>
      </c>
      <c r="B5">
        <v>100</v>
      </c>
      <c r="C5">
        <v>120</v>
      </c>
      <c r="D5">
        <v>140</v>
      </c>
      <c r="E5">
        <v>160</v>
      </c>
    </row>
    <row r="6" spans="1:5" x14ac:dyDescent="0.25">
      <c r="A6" t="s">
        <v>41</v>
      </c>
      <c r="B6">
        <v>20</v>
      </c>
      <c r="C6">
        <v>20</v>
      </c>
      <c r="D6">
        <v>20</v>
      </c>
      <c r="E6">
        <v>20</v>
      </c>
    </row>
    <row r="7" spans="1:5" x14ac:dyDescent="0.25">
      <c r="A7" t="s">
        <v>42</v>
      </c>
      <c r="B7">
        <f>B5+B6</f>
        <v>120</v>
      </c>
      <c r="C7">
        <f>C5+C6</f>
        <v>140</v>
      </c>
      <c r="D7">
        <f>D5+D6</f>
        <v>160</v>
      </c>
      <c r="E7">
        <f>E5+E6</f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Income Statement</vt:lpstr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</dc:creator>
  <dc:title/>
  <dc:subject/>
  <dc:description/>
  <cp:keywords/>
  <cp:category/>
  <cp:lastModifiedBy>Unknown</cp:lastModifiedBy>
  <dcterms:created xsi:type="dcterms:W3CDTF">2026-08-10T23:04:33Z</dcterms:created>
  <dcterms:modified xsi:type="dcterms:W3CDTF">2026-08-10T23:04:33Z</dcterms:modified>
</cp:coreProperties>
</file>