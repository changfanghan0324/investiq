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DCF" state="visible" r:id="rId6"/>
  </sheets>
  <definedNames>
    <definedName name="WACC">Inputs!$B$8</definedName>
  </definedNames>
  <calcPr calcId="171027"/>
</workbook>
</file>

<file path=xl/sharedStrings.xml><?xml version="1.0" encoding="utf-8"?>
<sst xmlns="http://schemas.openxmlformats.org/spreadsheetml/2006/main" count="56" uniqueCount="45">
  <si>
    <t>ModelGuard Clean Sample</t>
  </si>
  <si>
    <t>Illustrative structure only; no market data.</t>
  </si>
  <si>
    <t>Assumption</t>
  </si>
  <si>
    <t>Value</t>
  </si>
  <si>
    <t>Unit</t>
  </si>
  <si>
    <t>Review note</t>
  </si>
  <si>
    <t>Revenue growth</t>
  </si>
  <si>
    <t>%</t>
  </si>
  <si>
    <t>Explicit operating assumption</t>
  </si>
  <si>
    <t>EBIT margin</t>
  </si>
  <si>
    <t>Flows through the income statement</t>
  </si>
  <si>
    <t>Tax rate</t>
  </si>
  <si>
    <t>Applied to positive EBIT</t>
  </si>
  <si>
    <t>WACC</t>
  </si>
  <si>
    <t>DCF discount rate</t>
  </si>
  <si>
    <t>Terminal growth</t>
  </si>
  <si>
    <t>Must remain below WACC</t>
  </si>
  <si>
    <t>Base revenue</t>
  </si>
  <si>
    <t>USD mm</t>
  </si>
  <si>
    <t>Starting point</t>
  </si>
  <si>
    <t>Model version</t>
  </si>
  <si>
    <t>1.0</t>
  </si>
  <si>
    <t/>
  </si>
  <si>
    <t>Workbook comparison fixture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</si>
  <si>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</si>
  <si>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</si>
  <si>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</si>
  <si>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</si>
  <si>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</si>
  <si>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</si>
  <si>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</si>
  <si>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Revenue</t>
  </si>
  <si>
    <t>EBIT</t>
  </si>
  <si>
    <t>Taxes</t>
  </si>
  <si>
    <t>Net Income</t>
  </si>
  <si>
    <t>DCF Valuation</t>
  </si>
  <si>
    <t>Illustrative output; not an investment recommendation.</t>
  </si>
  <si>
    <t>Formula receipt</t>
  </si>
  <si>
    <t>Free cash flow</t>
  </si>
  <si>
    <t>Net income proxy</t>
  </si>
  <si>
    <t>Discount factor</t>
  </si>
  <si>
    <t>PV of FCF</t>
  </si>
  <si>
    <t>FCF x discount factor</t>
  </si>
  <si>
    <t>Terminal value</t>
  </si>
  <si>
    <t>Gordon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</si>
</sst>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6" customWidth="1"/>
    <col min="3" max="3" width="14" customWidth="1"/>
    <col min="4" max="4" width="3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>
        <v>0.08</v>
      </c>
      <c r="C5" s="4" t="s">
        <v>7</v>
      </c>
      <c r="D5" s="4" t="s">
        <v>8</v>
      </c>
    </row>
    <row r="6" spans="1:4" x14ac:dyDescent="0.25">
      <c r="A6" s="4" t="s">
        <v>9</v>
      </c>
      <c r="B6" s="4">
        <v>0.22</v>
      </c>
      <c r="C6" s="4" t="s">
        <v>7</v>
      </c>
      <c r="D6" s="4" t="s">
        <v>10</v>
      </c>
    </row>
    <row r="7" spans="1:4" x14ac:dyDescent="0.25">
      <c r="A7" s="4" t="s">
        <v>11</v>
      </c>
      <c r="B7" s="4">
        <v>0.25</v>
      </c>
      <c r="C7" s="4" t="s">
        <v>7</v>
      </c>
      <c r="D7" s="4" t="s">
        <v>12</v>
      </c>
    </row>
    <row r="8" spans="1:4" x14ac:dyDescent="0.25">
      <c r="A8" s="4" t="s">
        <v>13</v>
      </c>
      <c r="B8" s="4">
        <v>0.09</v>
      </c>
      <c r="C8" s="4" t="s">
        <v>7</v>
      </c>
      <c r="D8" s="4" t="s">
        <v>14</v>
      </c>
    </row>
    <row r="9" spans="1:4" x14ac:dyDescent="0.25">
      <c r="A9" s="4" t="s">
        <v>15</v>
      </c>
      <c r="B9" s="4">
        <v>0.025</v>
      </c>
      <c r="C9" s="4" t="s">
        <v>7</v>
      </c>
      <c r="D9" s="4" t="s">
        <v>16</v>
      </c>
    </row>
    <row r="10" spans="1:4" x14ac:dyDescent="0.25">
      <c r="A10" s="4" t="s">
        <v>17</v>
      </c>
      <c r="B10" s="4">
        <v>1000</v>
      </c>
      <c r="C10" s="4" t="s">
        <v>18</v>
      </c>
      <c r="D10" s="4" t="s">
        <v>19</v>
      </c>
    </row>
    <row r="11" spans="1:4" x14ac:dyDescent="0.25">
      <c r="A11" s="4" t="s">
        <v>20</v>
      </c>
      <c r="B11" s="4" t="s">
        <v>21</v>
      </c>
      <c r="C11" s="4" t="s">
        <v>22</v>
      </c>
      <c r="D1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5" width="15" customWidth="1"/>
  </cols>
  <sheetData>
    <row r="1" ht="26" customHeight="1" spans="1:1" s="1" customFormat="1" x14ac:dyDescent="0.25">
      <c r="A1" s="1" t="s">
        <v>24</v>
      </c>
    </row>
    <row r="2" spans="1:1" s="2" customFormat="1" x14ac:dyDescent="0.25">
      <c r="A2" s="2" t="s">
        <v>25</v>
      </c>
    </row>
    <row r="4" spans="1:5" s="3" customFormat="1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</row>
    <row r="5" spans="1:5" x14ac:dyDescent="0.25">
      <c r="A5" s="4" t="s">
        <v>31</v>
      </c>
      <c r="B5" s="4">
        <f>='Inputs'!$B$9</f>
        <v>1000</v>
      </c>
      <c r="C5" s="4">
        <f>=B5*(1+Inputs!$B$5)</f>
        <v>1080</v>
      </c>
      <c r="D5" s="4">
        <f>=C5*(1+Inputs!$B$5)</f>
        <v>1166.4</v>
      </c>
      <c r="E5" s="4">
        <f>=D5*(1+Inputs!$B$5)</f>
        <v>1259.712</v>
      </c>
    </row>
    <row r="6" spans="1:5" x14ac:dyDescent="0.25">
      <c r="A6" s="4" t="s">
        <v>32</v>
      </c>
      <c r="B6" s="4">
        <f>=B5*Inputs!$B$6</f>
        <v>220</v>
      </c>
      <c r="C6" s="4">
        <f>=C5*Inputs!$B$6</f>
        <v>237.6</v>
      </c>
      <c r="D6" s="4">
        <f>=D5*Inputs!$B$6</f>
        <v>256.608</v>
      </c>
      <c r="E6" s="4">
        <f>=E5*Inputs!$B$6</f>
        <v>277.13664</v>
      </c>
    </row>
    <row r="7" spans="1:5" x14ac:dyDescent="0.25">
      <c r="A7" s="4" t="s">
        <v>33</v>
      </c>
      <c r="B7" s="4">
        <f>=B6*Inputs!$B$7</f>
        <v>55</v>
      </c>
      <c r="C7" s="4">
        <f>=C6*Inputs!$B$7</f>
        <v>59.4</v>
      </c>
      <c r="D7" s="4">
        <f>=D6*Inputs!$B$7</f>
        <v>64.152</v>
      </c>
      <c r="E7" s="4">
        <f>=E6*Inputs!$B$7</f>
        <v>69.28416</v>
      </c>
    </row>
    <row r="8" spans="1:5" x14ac:dyDescent="0.25">
      <c r="A8" s="4" t="s">
        <v>34</v>
      </c>
      <c r="B8" s="4">
        <f>=B6-B7</f>
        <v>165</v>
      </c>
      <c r="C8" s="4">
        <f>=C6-C7</f>
        <v>178.2</v>
      </c>
      <c r="D8" s="4">
        <f>=D6-D7</f>
        <v>192.456</v>
      </c>
      <c r="E8" s="4">
        <f>=E6-E7</f>
        <v>207.85248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4" width="15" customWidth="1"/>
    <col min="5" max="5" width="32" customWidth="1"/>
  </cols>
  <sheetData>
    <row r="1" ht="26" customHeight="1" spans="1:1" s="1" customFormat="1" x14ac:dyDescent="0.25">
      <c r="A1" s="1" t="s">
        <v>35</v>
      </c>
    </row>
    <row r="2" spans="1:1" s="2" customFormat="1" x14ac:dyDescent="0.25">
      <c r="A2" s="2" t="s">
        <v>36</v>
      </c>
    </row>
    <row r="4" spans="1:5" s="3" customFormat="1" x14ac:dyDescent="0.25">
      <c r="A4" s="3" t="s">
        <v>26</v>
      </c>
      <c r="B4" s="3" t="s">
        <v>28</v>
      </c>
      <c r="C4" s="3" t="s">
        <v>29</v>
      </c>
      <c r="D4" s="3" t="s">
        <v>30</v>
      </c>
      <c r="E4" s="3" t="s">
        <v>37</v>
      </c>
    </row>
    <row r="5" spans="1:5" x14ac:dyDescent="0.25">
      <c r="A5" s="4" t="s">
        <v>38</v>
      </c>
      <c r="B5" s="4">
        <f>='Income Statement'!C8</f>
        <v>178.2</v>
      </c>
      <c r="C5" s="4">
        <f>='Income Statement'!D8</f>
        <v>192.456</v>
      </c>
      <c r="D5" s="4">
        <f>='Income Statement'!E8</f>
        <v>207.85248</v>
      </c>
      <c r="E5" s="4" t="s">
        <v>39</v>
      </c>
    </row>
    <row r="6" spans="1:5" x14ac:dyDescent="0.25">
      <c r="A6" s="4" t="s">
        <v>40</v>
      </c>
      <c r="B6" s="4">
        <f>=1/(1+Inputs!$B$8)^1</f>
        <v>0.917431</v>
      </c>
      <c r="C6" s="4">
        <f>=1/(1+Inputs!$B$8)^2</f>
        <v>0.84168</v>
      </c>
      <c r="D6" s="4">
        <f>=1/(1+Inputs!$B$8)^3</f>
        <v>0.772183</v>
      </c>
      <c r="E6" s="4" t="s">
        <v>13</v>
      </c>
    </row>
    <row r="7" spans="1:5" x14ac:dyDescent="0.25">
      <c r="A7" s="4" t="s">
        <v>41</v>
      </c>
      <c r="B7" s="4">
        <f>=B5*B6</f>
        <v>163.55</v>
      </c>
      <c r="C7" s="4">
        <f>=C5*C6</f>
        <v>161.99</v>
      </c>
      <c r="D7" s="4">
        <f>=D5*D6</f>
        <v>160.57</v>
      </c>
      <c r="E7" s="4" t="s">
        <v>42</v>
      </c>
    </row>
    <row r="8" spans="1:5" x14ac:dyDescent="0.25">
      <c r="A8" s="4" t="s">
        <v>43</v>
      </c>
      <c r="B8" s="4">
        <f>=D5*(1+Inputs!$B$9)/(Inputs!$B$8-Inputs!$B$9)</f>
        <v>3112.13</v>
      </c>
      <c r="C8" s="4" t="s">
        <v>22</v>
      </c>
      <c r="D8" s="4" t="s">
        <v>22</v>
      </c>
      <c r="E8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Income Statement</vt:lpstr>
      <vt:lpstr>DCF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>ModelGuard Clean Sample</dc:title>
  <dc:subject/>
  <dc:description/>
  <cp:keywords/>
  <cp:category/>
  <cp:lastModifiedBy>Unknown</cp:lastModifiedBy>
  <dcterms:created xsi:type="dcterms:W3CDTF">2026-08-10T20:52:15Z</dcterms:created>
  <dcterms:modified xsi:type="dcterms:W3CDTF">2026-08-10T20:52:15Z</dcterms:modified>
</cp:coreProperties>
</file>